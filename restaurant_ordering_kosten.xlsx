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https://d.docs.live.net/2b0f9413fc791ae0/HOGE SCHOOL/SOFTWARE ENGINEERING/"/>
    </mc:Choice>
  </mc:AlternateContent>
  <xr:revisionPtr revIDLastSave="21" documentId="8_{54CFC0A5-6262-4997-A574-B5356B8BB366}" xr6:coauthVersionLast="47" xr6:coauthVersionMax="47" xr10:uidLastSave="{4692D9B0-743D-467A-8360-F44F088C8679}"/>
  <bookViews>
    <workbookView xWindow="-108" yWindow="-108" windowWidth="23256" windowHeight="13176" xr2:uid="{00000000-000D-0000-FFFF-FFFF00000000}"/>
  </bookViews>
  <sheets>
    <sheet name="Jaarlijkse Koste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" i="1" l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13" i="1"/>
  <c r="D12" i="1"/>
  <c r="D49" i="1" l="1"/>
  <c r="F12" i="1" s="1"/>
</calcChain>
</file>

<file path=xl/sharedStrings.xml><?xml version="1.0" encoding="utf-8"?>
<sst xmlns="http://schemas.openxmlformats.org/spreadsheetml/2006/main" count="94" uniqueCount="57">
  <si>
    <t>Door: Lars Vanden Broeck, Tibo Van Geertsom en Marie Van de moortel</t>
  </si>
  <si>
    <t>Business case: restaurant project - financieel overzicht 1 jaar</t>
  </si>
  <si>
    <t>Projectscope: Ontwikkeling en uitrol van de mobiele app en backend software voor de restaurantsector.</t>
  </si>
  <si>
    <t>Kerncijfers &amp; Aannames:</t>
  </si>
  <si>
    <t>Legende</t>
  </si>
  <si>
    <r>
      <t>Doelgroep:</t>
    </r>
    <r>
      <rPr>
        <sz val="8"/>
        <color rgb="FF2B2D31"/>
        <rFont val="Arial"/>
        <family val="2"/>
      </rPr>
      <t> 50-70 restaurantlocaties in het eerste jaar.</t>
    </r>
  </si>
  <si>
    <t>MRC</t>
  </si>
  <si>
    <t>Monthly Recurring Charge</t>
  </si>
  <si>
    <r>
      <t>Training:</t>
    </r>
    <r>
      <rPr>
        <sz val="8"/>
        <color rgb="FF2B2D31"/>
        <rFont val="Arial"/>
        <family val="2"/>
      </rPr>
      <t> Onboarding van 300 medewerkers (incl. verloop).</t>
    </r>
  </si>
  <si>
    <t>OTC</t>
  </si>
  <si>
    <t>One Time Cost</t>
  </si>
  <si>
    <r>
      <t>Team:</t>
    </r>
    <r>
      <rPr>
        <sz val="8"/>
        <color rgb="FF2B2D31"/>
        <rFont val="Arial"/>
        <family val="2"/>
      </rPr>
      <t> 3 FTE Developers + 1 Parttime Support.</t>
    </r>
  </si>
  <si>
    <r>
      <t>Financieel:</t>
    </r>
    <r>
      <rPr>
        <sz val="8"/>
        <color rgb="FF2B2D31"/>
        <rFont val="Arial"/>
        <family val="2"/>
      </rPr>
      <t> Bedragen excl. BTW. Jaarlijkse indexering van 3% niet meegerekend.</t>
    </r>
  </si>
  <si>
    <t>Categorie / Kost</t>
  </si>
  <si>
    <t>Aantal</t>
  </si>
  <si>
    <t>Kost per eenheid (€)</t>
  </si>
  <si>
    <t>Kost per jaar (€)</t>
  </si>
  <si>
    <t>Type kost</t>
  </si>
  <si>
    <t>Veilige marge (15%) (€)</t>
  </si>
  <si>
    <t xml:space="preserve">Ontwikkelaars (3) voor alle software en app </t>
  </si>
  <si>
    <t>Werkgeverslasten &amp; belastingen bijdragens en belastingen</t>
  </si>
  <si>
    <t>Training &amp; certificering (aantal mensen voor halve dag)</t>
  </si>
  <si>
    <t>Projectmanagement (alles om het project in goede banen te leiden</t>
  </si>
  <si>
    <t>Onderhoud &amp; support development (updates, bugs, nieuwe functies)</t>
  </si>
  <si>
    <t xml:space="preserve">Hardware (afschrijving) </t>
  </si>
  <si>
    <t>Softwarelicenties &amp; tools</t>
  </si>
  <si>
    <t>Testtoestellen</t>
  </si>
  <si>
    <t>DevOps &amp; CI/CD tools</t>
  </si>
  <si>
    <t>Cloud servers</t>
  </si>
  <si>
    <t>Database hosting</t>
  </si>
  <si>
    <t>Storage &amp; backups</t>
  </si>
  <si>
    <t>Load balancing</t>
  </si>
  <si>
    <t>Monitoring tools</t>
  </si>
  <si>
    <t>Domeinen &amp; DNS</t>
  </si>
  <si>
    <t>Kantoor &amp; nutsvoorzieningen</t>
  </si>
  <si>
    <t>Administratie &amp; boekhouding</t>
  </si>
  <si>
    <t>Verzekeringen</t>
  </si>
  <si>
    <t>Internet &amp; communicatie</t>
  </si>
  <si>
    <t>Algemene overhead (onvoorziene kleine kosten)</t>
  </si>
  <si>
    <t>Supportmedewerker (parttime)</t>
  </si>
  <si>
    <t>Supportsoftware</t>
  </si>
  <si>
    <t>controle software</t>
  </si>
  <si>
    <t>Website &amp; branding</t>
  </si>
  <si>
    <t>Online advertenties</t>
  </si>
  <si>
    <t>Salesmateriaal</t>
  </si>
  <si>
    <t>Beurzen &amp; demo’s</t>
  </si>
  <si>
    <t>Payment provider setup</t>
  </si>
  <si>
    <t>Transactiekosten</t>
  </si>
  <si>
    <t>GDPR &amp; privacy compliance</t>
  </si>
  <si>
    <t>Juridisch advies</t>
  </si>
  <si>
    <t>Licenties &amp; certificaten (juridisch niveau)</t>
  </si>
  <si>
    <t>Security audits</t>
  </si>
  <si>
    <t>Penetratietests</t>
  </si>
  <si>
    <t>Backups &amp; disaster recovery</t>
  </si>
  <si>
    <t>Extra servercapaciteit</t>
  </si>
  <si>
    <t>Nieuwe features ontwikkeling</t>
  </si>
  <si>
    <r>
      <t xml:space="preserve">TOTALE JAARLIJKSE KOST </t>
    </r>
    <r>
      <rPr>
        <b/>
        <u/>
        <sz val="11"/>
        <color theme="1"/>
        <rFont val="Calibri"/>
        <family val="2"/>
        <scheme val="minor"/>
      </rPr>
      <t>(alle bedragen zijn inclusief BTW)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</si>
</sst>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-2]\ * #,##0.00_);_([$€-2]\ * \(#,##0.00\);_([$€-2]\ * &quot;-&quot;??_);_(@_)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8"/>
      <color rgb="FF2B2D31"/>
      <name val="Arial"/>
      <family val="2"/>
    </font>
    <font>
      <sz val="8"/>
      <color rgb="FF2B2D31"/>
      <name val="Arial"/>
      <family val="2"/>
    </font>
    <font>
      <b/>
      <sz val="10"/>
      <color rgb="FF2B2D31"/>
      <name val="Arial"/>
      <family val="2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7" fillId="3" borderId="0" applyNumberFormat="0" applyBorder="0" applyAlignment="0" applyProtection="0"/>
    <xf numFmtId="0" fontId="7" fillId="4" borderId="0" applyNumberFormat="0" applyBorder="0" applyAlignment="0" applyProtection="0"/>
    <xf numFmtId="0" fontId="7" fillId="5" borderId="0" applyNumberFormat="0" applyBorder="0" applyAlignment="0" applyProtection="0"/>
  </cellStyleXfs>
  <cellXfs count="14">
    <xf numFmtId="0" fontId="0" fillId="0" borderId="0" xfId="0"/>
    <xf numFmtId="0" fontId="1" fillId="0" borderId="2" xfId="0" applyFont="1" applyBorder="1"/>
    <xf numFmtId="0" fontId="1" fillId="0" borderId="3" xfId="0" applyFont="1" applyBorder="1"/>
    <xf numFmtId="0" fontId="0" fillId="0" borderId="0" xfId="0" applyAlignment="1">
      <alignment horizontal="center"/>
    </xf>
    <xf numFmtId="0" fontId="1" fillId="2" borderId="4" xfId="0" applyFont="1" applyFill="1" applyBorder="1"/>
    <xf numFmtId="0" fontId="6" fillId="0" borderId="0" xfId="0" applyFont="1"/>
    <xf numFmtId="0" fontId="4" fillId="0" borderId="0" xfId="0" applyFont="1" applyAlignment="1">
      <alignment horizontal="left" vertical="center" wrapText="1" indent="1"/>
    </xf>
    <xf numFmtId="0" fontId="7" fillId="4" borderId="1" xfId="2" applyBorder="1"/>
    <xf numFmtId="0" fontId="1" fillId="4" borderId="0" xfId="2" applyFont="1" applyAlignment="1">
      <alignment vertical="center" wrapText="1"/>
    </xf>
    <xf numFmtId="0" fontId="1" fillId="4" borderId="1" xfId="2" applyFont="1" applyBorder="1"/>
    <xf numFmtId="164" fontId="3" fillId="2" borderId="0" xfId="0" applyNumberFormat="1" applyFont="1" applyFill="1" applyAlignment="1">
      <alignment horizontal="center"/>
    </xf>
    <xf numFmtId="0" fontId="1" fillId="5" borderId="0" xfId="3" applyFont="1" applyAlignment="1">
      <alignment horizontal="center"/>
    </xf>
    <xf numFmtId="0" fontId="7" fillId="3" borderId="0" xfId="1" applyAlignment="1">
      <alignment horizontal="center"/>
    </xf>
    <xf numFmtId="0" fontId="1" fillId="4" borderId="0" xfId="2" applyFont="1" applyAlignment="1">
      <alignment horizontal="center"/>
    </xf>
  </cellXfs>
  <cellStyles count="4">
    <cellStyle name="20% - Accent3" xfId="1" builtinId="38"/>
    <cellStyle name="40% - Accent3" xfId="2" builtinId="39"/>
    <cellStyle name="60% - Accent3" xfId="3" builtinId="40"/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9"/>
  <sheetViews>
    <sheetView tabSelected="1" zoomScale="120" zoomScaleNormal="130" workbookViewId="0">
      <selection activeCell="J7" sqref="J7"/>
    </sheetView>
  </sheetViews>
  <sheetFormatPr defaultRowHeight="14.45"/>
  <cols>
    <col min="1" max="1" width="57.85546875" customWidth="1"/>
    <col min="3" max="3" width="18.42578125" customWidth="1"/>
    <col min="4" max="4" width="14.140625" customWidth="1"/>
    <col min="5" max="5" width="10.7109375" customWidth="1"/>
    <col min="6" max="6" width="20.28515625" customWidth="1"/>
  </cols>
  <sheetData>
    <row r="1" spans="1:6">
      <c r="A1" t="s">
        <v>0</v>
      </c>
    </row>
    <row r="2" spans="1:6" ht="21" customHeight="1">
      <c r="A2" s="11" t="s">
        <v>1</v>
      </c>
      <c r="B2" s="11"/>
      <c r="C2" s="11"/>
      <c r="D2" s="11"/>
      <c r="E2" s="11"/>
      <c r="F2" s="11"/>
    </row>
    <row r="3" spans="1:6">
      <c r="A3" s="12" t="s">
        <v>2</v>
      </c>
      <c r="B3" s="12"/>
      <c r="C3" s="12"/>
      <c r="D3" s="12"/>
      <c r="E3" s="12"/>
      <c r="F3" s="12"/>
    </row>
    <row r="4" spans="1:6">
      <c r="A4" s="5"/>
    </row>
    <row r="5" spans="1:6">
      <c r="A5" s="8" t="s">
        <v>3</v>
      </c>
      <c r="C5" s="13" t="s">
        <v>4</v>
      </c>
      <c r="D5" s="13"/>
      <c r="E5" s="13"/>
    </row>
    <row r="6" spans="1:6">
      <c r="A6" s="6" t="s">
        <v>5</v>
      </c>
      <c r="C6" t="s">
        <v>6</v>
      </c>
      <c r="D6" t="s">
        <v>7</v>
      </c>
    </row>
    <row r="7" spans="1:6">
      <c r="A7" s="6" t="s">
        <v>8</v>
      </c>
      <c r="C7" t="s">
        <v>9</v>
      </c>
      <c r="D7" t="s">
        <v>10</v>
      </c>
    </row>
    <row r="8" spans="1:6">
      <c r="A8" s="6" t="s">
        <v>11</v>
      </c>
    </row>
    <row r="9" spans="1:6">
      <c r="A9" s="6" t="s">
        <v>12</v>
      </c>
    </row>
    <row r="10" spans="1:6">
      <c r="A10" s="5"/>
    </row>
    <row r="11" spans="1:6">
      <c r="A11" s="9" t="s">
        <v>13</v>
      </c>
      <c r="B11" s="7" t="s">
        <v>14</v>
      </c>
      <c r="C11" s="7" t="s">
        <v>15</v>
      </c>
      <c r="D11" s="7" t="s">
        <v>16</v>
      </c>
      <c r="E11" s="7" t="s">
        <v>17</v>
      </c>
      <c r="F11" s="7" t="s">
        <v>18</v>
      </c>
    </row>
    <row r="12" spans="1:6" ht="18">
      <c r="A12" t="s">
        <v>19</v>
      </c>
      <c r="B12">
        <v>3</v>
      </c>
      <c r="C12">
        <v>60000</v>
      </c>
      <c r="D12">
        <f>B12*C12</f>
        <v>180000</v>
      </c>
      <c r="E12" s="3" t="s">
        <v>6</v>
      </c>
      <c r="F12" s="10">
        <f>D49*1.15</f>
        <v>561085</v>
      </c>
    </row>
    <row r="13" spans="1:6">
      <c r="A13" t="s">
        <v>20</v>
      </c>
      <c r="B13">
        <v>1</v>
      </c>
      <c r="C13">
        <v>45000</v>
      </c>
      <c r="D13">
        <f>B13*C13</f>
        <v>45000</v>
      </c>
      <c r="E13" s="3" t="s">
        <v>6</v>
      </c>
    </row>
    <row r="14" spans="1:6">
      <c r="A14" t="s">
        <v>21</v>
      </c>
      <c r="B14">
        <v>300</v>
      </c>
      <c r="C14">
        <v>300</v>
      </c>
      <c r="D14">
        <f t="shared" ref="D14:D48" si="0">B14*C14</f>
        <v>90000</v>
      </c>
      <c r="E14" s="3" t="s">
        <v>6</v>
      </c>
    </row>
    <row r="15" spans="1:6">
      <c r="A15" t="s">
        <v>22</v>
      </c>
      <c r="B15">
        <v>1</v>
      </c>
      <c r="C15">
        <v>18000</v>
      </c>
      <c r="D15">
        <f t="shared" si="0"/>
        <v>18000</v>
      </c>
      <c r="E15" s="3" t="s">
        <v>6</v>
      </c>
    </row>
    <row r="16" spans="1:6">
      <c r="A16" t="s">
        <v>23</v>
      </c>
      <c r="B16">
        <v>1</v>
      </c>
      <c r="C16">
        <v>12000</v>
      </c>
      <c r="D16">
        <f t="shared" si="0"/>
        <v>12000</v>
      </c>
      <c r="E16" s="3" t="s">
        <v>6</v>
      </c>
    </row>
    <row r="17" spans="1:5">
      <c r="A17" t="s">
        <v>24</v>
      </c>
      <c r="B17">
        <v>3</v>
      </c>
      <c r="C17">
        <v>2500</v>
      </c>
      <c r="D17">
        <f t="shared" si="0"/>
        <v>7500</v>
      </c>
      <c r="E17" s="3" t="s">
        <v>9</v>
      </c>
    </row>
    <row r="18" spans="1:5">
      <c r="A18" t="s">
        <v>25</v>
      </c>
      <c r="B18">
        <v>3</v>
      </c>
      <c r="C18">
        <v>1500</v>
      </c>
      <c r="D18">
        <f t="shared" si="0"/>
        <v>4500</v>
      </c>
      <c r="E18" s="3" t="s">
        <v>6</v>
      </c>
    </row>
    <row r="19" spans="1:5">
      <c r="A19" t="s">
        <v>26</v>
      </c>
      <c r="B19">
        <v>2</v>
      </c>
      <c r="C19">
        <v>1000</v>
      </c>
      <c r="D19">
        <f t="shared" si="0"/>
        <v>2000</v>
      </c>
      <c r="E19" s="3" t="s">
        <v>9</v>
      </c>
    </row>
    <row r="20" spans="1:5">
      <c r="A20" t="s">
        <v>27</v>
      </c>
      <c r="B20">
        <v>1</v>
      </c>
      <c r="C20">
        <v>3000</v>
      </c>
      <c r="D20">
        <f t="shared" si="0"/>
        <v>3000</v>
      </c>
      <c r="E20" s="3" t="s">
        <v>6</v>
      </c>
    </row>
    <row r="21" spans="1:5">
      <c r="A21" t="s">
        <v>28</v>
      </c>
      <c r="B21">
        <v>1</v>
      </c>
      <c r="C21">
        <v>6000</v>
      </c>
      <c r="D21">
        <f t="shared" si="0"/>
        <v>6000</v>
      </c>
      <c r="E21" s="3" t="s">
        <v>6</v>
      </c>
    </row>
    <row r="22" spans="1:5">
      <c r="A22" t="s">
        <v>29</v>
      </c>
      <c r="B22">
        <v>1</v>
      </c>
      <c r="C22">
        <v>2500</v>
      </c>
      <c r="D22">
        <f t="shared" si="0"/>
        <v>2500</v>
      </c>
      <c r="E22" s="3" t="s">
        <v>6</v>
      </c>
    </row>
    <row r="23" spans="1:5">
      <c r="A23" t="s">
        <v>30</v>
      </c>
      <c r="B23">
        <v>1</v>
      </c>
      <c r="C23">
        <v>1500</v>
      </c>
      <c r="D23">
        <f t="shared" si="0"/>
        <v>1500</v>
      </c>
      <c r="E23" s="3" t="s">
        <v>6</v>
      </c>
    </row>
    <row r="24" spans="1:5">
      <c r="A24" t="s">
        <v>31</v>
      </c>
      <c r="B24">
        <v>1</v>
      </c>
      <c r="C24">
        <v>1500</v>
      </c>
      <c r="D24">
        <f t="shared" si="0"/>
        <v>1500</v>
      </c>
      <c r="E24" s="3" t="s">
        <v>6</v>
      </c>
    </row>
    <row r="25" spans="1:5">
      <c r="A25" t="s">
        <v>32</v>
      </c>
      <c r="B25">
        <v>1</v>
      </c>
      <c r="C25">
        <v>1500</v>
      </c>
      <c r="D25">
        <f t="shared" si="0"/>
        <v>1500</v>
      </c>
      <c r="E25" s="3" t="s">
        <v>6</v>
      </c>
    </row>
    <row r="26" spans="1:5">
      <c r="A26" t="s">
        <v>33</v>
      </c>
      <c r="B26">
        <v>1</v>
      </c>
      <c r="C26">
        <v>200</v>
      </c>
      <c r="D26">
        <f t="shared" si="0"/>
        <v>200</v>
      </c>
      <c r="E26" s="3" t="s">
        <v>6</v>
      </c>
    </row>
    <row r="27" spans="1:5">
      <c r="A27" t="s">
        <v>34</v>
      </c>
      <c r="B27">
        <v>1</v>
      </c>
      <c r="C27">
        <v>9000</v>
      </c>
      <c r="D27">
        <f t="shared" si="0"/>
        <v>9000</v>
      </c>
      <c r="E27" s="3" t="s">
        <v>6</v>
      </c>
    </row>
    <row r="28" spans="1:5">
      <c r="A28" t="s">
        <v>35</v>
      </c>
      <c r="B28">
        <v>1</v>
      </c>
      <c r="C28">
        <v>6000</v>
      </c>
      <c r="D28">
        <f t="shared" si="0"/>
        <v>6000</v>
      </c>
      <c r="E28" s="3" t="s">
        <v>6</v>
      </c>
    </row>
    <row r="29" spans="1:5">
      <c r="A29" t="s">
        <v>36</v>
      </c>
      <c r="B29">
        <v>2</v>
      </c>
      <c r="C29">
        <v>1625</v>
      </c>
      <c r="D29">
        <f t="shared" si="0"/>
        <v>3250</v>
      </c>
      <c r="E29" s="3" t="s">
        <v>6</v>
      </c>
    </row>
    <row r="30" spans="1:5">
      <c r="A30" t="s">
        <v>37</v>
      </c>
      <c r="B30">
        <v>1</v>
      </c>
      <c r="C30">
        <v>1450</v>
      </c>
      <c r="D30">
        <f t="shared" si="0"/>
        <v>1450</v>
      </c>
      <c r="E30" s="3" t="s">
        <v>6</v>
      </c>
    </row>
    <row r="31" spans="1:5">
      <c r="A31" t="s">
        <v>38</v>
      </c>
      <c r="B31">
        <v>1</v>
      </c>
      <c r="C31">
        <v>7000</v>
      </c>
      <c r="D31">
        <f t="shared" si="0"/>
        <v>7000</v>
      </c>
      <c r="E31" s="3" t="s">
        <v>6</v>
      </c>
    </row>
    <row r="32" spans="1:5">
      <c r="A32" t="s">
        <v>39</v>
      </c>
      <c r="B32">
        <v>1</v>
      </c>
      <c r="C32">
        <v>20000</v>
      </c>
      <c r="D32">
        <f t="shared" si="0"/>
        <v>20000</v>
      </c>
      <c r="E32" s="3" t="s">
        <v>6</v>
      </c>
    </row>
    <row r="33" spans="1:5">
      <c r="A33" t="s">
        <v>40</v>
      </c>
      <c r="B33">
        <v>1</v>
      </c>
      <c r="C33">
        <v>1000</v>
      </c>
      <c r="D33">
        <f t="shared" si="0"/>
        <v>1000</v>
      </c>
      <c r="E33" s="3" t="s">
        <v>6</v>
      </c>
    </row>
    <row r="34" spans="1:5">
      <c r="A34" t="s">
        <v>41</v>
      </c>
      <c r="B34">
        <v>1</v>
      </c>
      <c r="C34">
        <v>2000</v>
      </c>
      <c r="D34">
        <f t="shared" si="0"/>
        <v>2000</v>
      </c>
      <c r="E34" s="3" t="s">
        <v>6</v>
      </c>
    </row>
    <row r="35" spans="1:5">
      <c r="A35" t="s">
        <v>42</v>
      </c>
      <c r="B35">
        <v>1</v>
      </c>
      <c r="C35">
        <v>4000</v>
      </c>
      <c r="D35">
        <f t="shared" si="0"/>
        <v>4000</v>
      </c>
      <c r="E35" s="3" t="s">
        <v>9</v>
      </c>
    </row>
    <row r="36" spans="1:5">
      <c r="A36" t="s">
        <v>43</v>
      </c>
      <c r="B36">
        <v>1</v>
      </c>
      <c r="C36">
        <v>10500</v>
      </c>
      <c r="D36">
        <f t="shared" si="0"/>
        <v>10500</v>
      </c>
      <c r="E36" s="3" t="s">
        <v>6</v>
      </c>
    </row>
    <row r="37" spans="1:5">
      <c r="A37" t="s">
        <v>44</v>
      </c>
      <c r="B37">
        <v>1</v>
      </c>
      <c r="C37">
        <v>3000</v>
      </c>
      <c r="D37">
        <f t="shared" si="0"/>
        <v>3000</v>
      </c>
      <c r="E37" s="3" t="s">
        <v>6</v>
      </c>
    </row>
    <row r="38" spans="1:5">
      <c r="A38" t="s">
        <v>45</v>
      </c>
      <c r="B38">
        <v>1</v>
      </c>
      <c r="C38">
        <v>5000</v>
      </c>
      <c r="D38">
        <f t="shared" si="0"/>
        <v>5000</v>
      </c>
      <c r="E38" s="3" t="s">
        <v>6</v>
      </c>
    </row>
    <row r="39" spans="1:5">
      <c r="A39" t="s">
        <v>46</v>
      </c>
      <c r="B39">
        <v>1</v>
      </c>
      <c r="C39">
        <v>750</v>
      </c>
      <c r="D39">
        <f t="shared" si="0"/>
        <v>750</v>
      </c>
      <c r="E39" s="3" t="s">
        <v>9</v>
      </c>
    </row>
    <row r="40" spans="1:5">
      <c r="A40" t="s">
        <v>47</v>
      </c>
      <c r="B40">
        <v>1</v>
      </c>
      <c r="C40">
        <v>5500</v>
      </c>
      <c r="D40">
        <f t="shared" si="0"/>
        <v>5500</v>
      </c>
      <c r="E40" s="3" t="s">
        <v>6</v>
      </c>
    </row>
    <row r="41" spans="1:5">
      <c r="A41" t="s">
        <v>48</v>
      </c>
      <c r="B41">
        <v>1</v>
      </c>
      <c r="C41">
        <v>2750</v>
      </c>
      <c r="D41">
        <f t="shared" si="0"/>
        <v>2750</v>
      </c>
      <c r="E41" s="3" t="s">
        <v>9</v>
      </c>
    </row>
    <row r="42" spans="1:5">
      <c r="A42" t="s">
        <v>49</v>
      </c>
      <c r="B42">
        <v>1</v>
      </c>
      <c r="C42">
        <v>3750</v>
      </c>
      <c r="D42">
        <f t="shared" si="0"/>
        <v>3750</v>
      </c>
      <c r="E42" s="3" t="s">
        <v>6</v>
      </c>
    </row>
    <row r="43" spans="1:5">
      <c r="A43" t="s">
        <v>50</v>
      </c>
      <c r="B43">
        <v>1</v>
      </c>
      <c r="C43">
        <v>750</v>
      </c>
      <c r="D43">
        <f t="shared" si="0"/>
        <v>750</v>
      </c>
      <c r="E43" s="3" t="s">
        <v>6</v>
      </c>
    </row>
    <row r="44" spans="1:5">
      <c r="A44" t="s">
        <v>51</v>
      </c>
      <c r="B44">
        <v>1</v>
      </c>
      <c r="C44">
        <v>3000</v>
      </c>
      <c r="D44">
        <f t="shared" si="0"/>
        <v>3000</v>
      </c>
      <c r="E44" s="3" t="s">
        <v>6</v>
      </c>
    </row>
    <row r="45" spans="1:5">
      <c r="A45" t="s">
        <v>52</v>
      </c>
      <c r="B45">
        <v>1</v>
      </c>
      <c r="C45">
        <v>4000</v>
      </c>
      <c r="D45">
        <f t="shared" si="0"/>
        <v>4000</v>
      </c>
      <c r="E45" s="3" t="s">
        <v>6</v>
      </c>
    </row>
    <row r="46" spans="1:5">
      <c r="A46" t="s">
        <v>53</v>
      </c>
      <c r="B46">
        <v>1</v>
      </c>
      <c r="C46">
        <v>2000</v>
      </c>
      <c r="D46">
        <f t="shared" si="0"/>
        <v>2000</v>
      </c>
      <c r="E46" s="3" t="s">
        <v>6</v>
      </c>
    </row>
    <row r="47" spans="1:5">
      <c r="A47" t="s">
        <v>54</v>
      </c>
      <c r="B47">
        <v>1</v>
      </c>
      <c r="C47">
        <v>5000</v>
      </c>
      <c r="D47">
        <f t="shared" si="0"/>
        <v>5000</v>
      </c>
      <c r="E47" s="3" t="s">
        <v>6</v>
      </c>
    </row>
    <row r="48" spans="1:5" ht="15" thickBot="1">
      <c r="A48" t="s">
        <v>55</v>
      </c>
      <c r="B48">
        <v>1</v>
      </c>
      <c r="C48">
        <v>13000</v>
      </c>
      <c r="D48">
        <f t="shared" si="0"/>
        <v>13000</v>
      </c>
      <c r="E48" s="3" t="s">
        <v>6</v>
      </c>
    </row>
    <row r="49" spans="1:4" ht="15" thickBot="1">
      <c r="A49" s="1" t="s">
        <v>56</v>
      </c>
      <c r="B49" s="2"/>
      <c r="C49" s="2"/>
      <c r="D49" s="4">
        <f>D12+D13+D14+D15+D16+D17+D18+D20+D21+D22+D19+D23+D24+D25+D26+D27+D28+D29+D30+D31+D32+D33+D34+D35+D36+D37+D38+D39+D40+D41+D42+D43+D44+D45+D46+D47+D48</f>
        <v>487900</v>
      </c>
    </row>
  </sheetData>
  <mergeCells count="3">
    <mergeCell ref="A2:F2"/>
    <mergeCell ref="A3:F3"/>
    <mergeCell ref="C5:E5"/>
  </mergeCells>
  <pageMargins left="0.75" right="0.75" top="1" bottom="1" header="0.5" footer="0.5"/>
  <pageSetup paperSize="9" fitToWidth="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Gastgebruiker</cp:lastModifiedBy>
  <cp:revision/>
  <dcterms:created xsi:type="dcterms:W3CDTF">2026-02-13T14:17:18Z</dcterms:created>
  <dcterms:modified xsi:type="dcterms:W3CDTF">2026-02-18T14:30:45Z</dcterms:modified>
  <cp:category/>
  <cp:contentStatus/>
</cp:coreProperties>
</file>