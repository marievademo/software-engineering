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b0f9413fc791ae0/HOGE SCHOOL/SOFTWARE ENGINEERING/"/>
    </mc:Choice>
  </mc:AlternateContent>
  <xr:revisionPtr revIDLastSave="2" documentId="8_{5518C0C2-F8DB-48A0-970E-802E6F3C4A79}" xr6:coauthVersionLast="47" xr6:coauthVersionMax="47" xr10:uidLastSave="{F6E5F03B-E0A7-4698-87C4-5B6DAD9281C8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4" i="1"/>
  <c r="G14" i="1" l="1"/>
</calcChain>
</file>

<file path=xl/sharedStrings.xml><?xml version="1.0" encoding="utf-8"?>
<sst xmlns="http://schemas.openxmlformats.org/spreadsheetml/2006/main" count="50" uniqueCount="34">
  <si>
    <t>Restaurant Ordering Application</t>
  </si>
  <si>
    <t>Kostenpost</t>
  </si>
  <si>
    <t>Beschrijving</t>
  </si>
  <si>
    <t>Eenheid</t>
  </si>
  <si>
    <t>Aantal</t>
  </si>
  <si>
    <t>Kosten per eenheid (€)</t>
  </si>
  <si>
    <t>Totaal per jaar (€)</t>
  </si>
  <si>
    <t>Type Kosten</t>
  </si>
  <si>
    <t>Personeelskosten</t>
  </si>
  <si>
    <t>Salaris van ontwikkelaars en managers</t>
  </si>
  <si>
    <t>Per persoon</t>
  </si>
  <si>
    <t>MRC</t>
  </si>
  <si>
    <t>Sociale lasten &amp; belastingen</t>
  </si>
  <si>
    <t>Werkgeversbijdragen</t>
  </si>
  <si>
    <t>% van salaris</t>
  </si>
  <si>
    <t>Opleiding &amp; trainingen</t>
  </si>
  <si>
    <t>Cursussen en certificeringen</t>
  </si>
  <si>
    <t>OTC</t>
  </si>
  <si>
    <t>Hardware</t>
  </si>
  <si>
    <t>Laptop, monitor etc.</t>
  </si>
  <si>
    <t>Software &amp; licenties</t>
  </si>
  <si>
    <t>IDE, GitHub, CI/CD tools, PostgreSQL (indien betaald)</t>
  </si>
  <si>
    <t>Cloud &amp; hosting</t>
  </si>
  <si>
    <t>Servers, database, storage</t>
  </si>
  <si>
    <t>Kantoorkosten</t>
  </si>
  <si>
    <t>Bureau, stoel, nutsvoorzieningen</t>
  </si>
  <si>
    <t>Overhead</t>
  </si>
  <si>
    <t>Administratie, verzekeringen, extra kosten</t>
  </si>
  <si>
    <t>Onderhoud &amp; support</t>
  </si>
  <si>
    <t>Bugfixes, updates, klantenservice</t>
  </si>
  <si>
    <t>Projectmanagement</t>
  </si>
  <si>
    <t>Scrum master, planning, meetings</t>
  </si>
  <si>
    <t>Totaal jaarlijkse kosten</t>
  </si>
  <si>
    <t>Som van alle bovenstaande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</si>
</sst>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4"/>
  <sheetViews>
    <sheetView tabSelected="1" workbookViewId="0">
      <selection activeCell="C18" sqref="C18"/>
    </sheetView>
  </sheetViews>
  <sheetFormatPr defaultRowHeight="14.45"/>
  <cols>
    <col min="2" max="2" width="25.42578125" customWidth="1"/>
    <col min="3" max="3" width="44.42578125" bestFit="1" customWidth="1"/>
    <col min="4" max="4" width="11.28515625" bestFit="1" customWidth="1"/>
    <col min="5" max="5" width="6.42578125" bestFit="1" customWidth="1"/>
    <col min="6" max="6" width="20.28515625" bestFit="1" customWidth="1"/>
    <col min="7" max="7" width="16" bestFit="1" customWidth="1"/>
    <col min="8" max="8" width="11.28515625" bestFit="1" customWidth="1"/>
  </cols>
  <sheetData>
    <row r="2" spans="2:8">
      <c r="B2" s="5" t="s">
        <v>0</v>
      </c>
      <c r="C2" s="5"/>
      <c r="D2" s="5"/>
      <c r="E2" s="5"/>
      <c r="F2" s="5"/>
      <c r="G2" s="5"/>
    </row>
    <row r="3" spans="2:8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</row>
    <row r="4" spans="2:8">
      <c r="B4" t="s">
        <v>8</v>
      </c>
      <c r="C4" t="s">
        <v>9</v>
      </c>
      <c r="D4" t="s">
        <v>10</v>
      </c>
      <c r="E4">
        <v>3</v>
      </c>
      <c r="F4">
        <v>60000</v>
      </c>
      <c r="G4">
        <f>E4*F4</f>
        <v>180000</v>
      </c>
      <c r="H4" t="s">
        <v>11</v>
      </c>
    </row>
    <row r="5" spans="2:8">
      <c r="B5" t="s">
        <v>12</v>
      </c>
      <c r="C5" t="s">
        <v>13</v>
      </c>
      <c r="D5" t="s">
        <v>14</v>
      </c>
      <c r="E5">
        <v>1</v>
      </c>
      <c r="F5">
        <v>25</v>
      </c>
      <c r="G5">
        <f t="shared" ref="G5:G13" si="0">E5*F5</f>
        <v>25</v>
      </c>
      <c r="H5" t="s">
        <v>11</v>
      </c>
    </row>
    <row r="6" spans="2:8">
      <c r="B6" t="s">
        <v>15</v>
      </c>
      <c r="C6" t="s">
        <v>16</v>
      </c>
      <c r="D6" t="s">
        <v>10</v>
      </c>
      <c r="E6">
        <v>3</v>
      </c>
      <c r="F6">
        <v>2000</v>
      </c>
      <c r="G6">
        <f t="shared" si="0"/>
        <v>6000</v>
      </c>
      <c r="H6" t="s">
        <v>17</v>
      </c>
    </row>
    <row r="7" spans="2:8">
      <c r="B7" t="s">
        <v>18</v>
      </c>
      <c r="C7" t="s">
        <v>19</v>
      </c>
      <c r="D7" t="s">
        <v>10</v>
      </c>
      <c r="E7">
        <v>3</v>
      </c>
      <c r="F7">
        <v>2500</v>
      </c>
      <c r="G7">
        <f t="shared" si="0"/>
        <v>7500</v>
      </c>
      <c r="H7" t="s">
        <v>17</v>
      </c>
    </row>
    <row r="8" spans="2:8">
      <c r="B8" t="s">
        <v>20</v>
      </c>
      <c r="C8" t="s">
        <v>21</v>
      </c>
      <c r="D8" t="s">
        <v>10</v>
      </c>
      <c r="E8">
        <v>3</v>
      </c>
      <c r="F8">
        <v>1500</v>
      </c>
      <c r="G8">
        <f t="shared" si="0"/>
        <v>4500</v>
      </c>
      <c r="H8" t="s">
        <v>11</v>
      </c>
    </row>
    <row r="9" spans="2:8">
      <c r="B9" t="s">
        <v>22</v>
      </c>
      <c r="C9" t="s">
        <v>23</v>
      </c>
      <c r="D9" t="s">
        <v>10</v>
      </c>
      <c r="E9">
        <v>3</v>
      </c>
      <c r="F9">
        <v>3000</v>
      </c>
      <c r="G9">
        <f t="shared" si="0"/>
        <v>9000</v>
      </c>
      <c r="H9" t="s">
        <v>11</v>
      </c>
    </row>
    <row r="10" spans="2:8">
      <c r="B10" t="s">
        <v>24</v>
      </c>
      <c r="C10" t="s">
        <v>25</v>
      </c>
      <c r="D10" t="s">
        <v>10</v>
      </c>
      <c r="E10">
        <v>3</v>
      </c>
      <c r="F10">
        <v>3000</v>
      </c>
      <c r="G10">
        <f t="shared" si="0"/>
        <v>9000</v>
      </c>
      <c r="H10" t="s">
        <v>17</v>
      </c>
    </row>
    <row r="11" spans="2:8">
      <c r="B11" t="s">
        <v>26</v>
      </c>
      <c r="C11" t="s">
        <v>27</v>
      </c>
      <c r="D11" t="s">
        <v>10</v>
      </c>
      <c r="E11">
        <v>3</v>
      </c>
      <c r="F11">
        <v>5000</v>
      </c>
      <c r="G11">
        <f t="shared" si="0"/>
        <v>15000</v>
      </c>
      <c r="H11" t="s">
        <v>11</v>
      </c>
    </row>
    <row r="12" spans="2:8">
      <c r="B12" t="s">
        <v>28</v>
      </c>
      <c r="C12" t="s">
        <v>29</v>
      </c>
      <c r="D12" t="s">
        <v>10</v>
      </c>
      <c r="E12">
        <v>3</v>
      </c>
      <c r="F12">
        <v>4000</v>
      </c>
      <c r="G12">
        <f t="shared" si="0"/>
        <v>12000</v>
      </c>
      <c r="H12" t="s">
        <v>11</v>
      </c>
    </row>
    <row r="13" spans="2:8">
      <c r="B13" t="s">
        <v>30</v>
      </c>
      <c r="C13" t="s">
        <v>31</v>
      </c>
      <c r="D13" t="s">
        <v>10</v>
      </c>
      <c r="E13">
        <v>3</v>
      </c>
      <c r="F13">
        <v>6000</v>
      </c>
      <c r="G13">
        <f t="shared" si="0"/>
        <v>18000</v>
      </c>
      <c r="H13" t="s">
        <v>11</v>
      </c>
    </row>
    <row r="14" spans="2:8">
      <c r="B14" s="3" t="s">
        <v>32</v>
      </c>
      <c r="C14" s="4" t="s">
        <v>33</v>
      </c>
      <c r="D14" s="4"/>
      <c r="E14" s="4"/>
      <c r="F14" s="4"/>
      <c r="G14" s="3">
        <f>SUM(G4:G13)</f>
        <v>261025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Van de moortel</dc:creator>
  <cp:keywords/>
  <dc:description/>
  <cp:lastModifiedBy>Gastgebruiker</cp:lastModifiedBy>
  <cp:revision/>
  <dcterms:created xsi:type="dcterms:W3CDTF">2026-02-12T15:15:11Z</dcterms:created>
  <dcterms:modified xsi:type="dcterms:W3CDTF">2026-02-13T15:22:41Z</dcterms:modified>
  <cp:category/>
  <cp:contentStatus/>
</cp:coreProperties>
</file>